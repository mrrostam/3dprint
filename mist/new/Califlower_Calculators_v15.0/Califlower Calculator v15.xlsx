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Data" sheetId="2" state="hidden" r:id="rId4"/>
  </sheets>
  <definedNames>
    <definedName function="false" hidden="false" name="scale" vbProcedure="false">Calculator!$C$4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<sst xmlns="http://schemas.openxmlformats.org/spreadsheetml/2006/main" count="178" uniqueCount="127">
  <si>
    <t xml:space="preserve">Vector 3D Califlower</t>
  </si>
  <si>
    <t xml:space="preserve">Measurements</t>
  </si>
  <si>
    <t xml:space="preserve">(This spreadsheet is locked to prevent accidental modification)</t>
  </si>
  <si>
    <t xml:space="preserve">Scale</t>
  </si>
  <si>
    <t xml:space="preserve">(if you have a larger printer, and larger tools, you can print at larger scale)</t>
  </si>
  <si>
    <t xml:space="preserve">Reading 1</t>
  </si>
  <si>
    <t xml:space="preserve">Reading 2</t>
  </si>
  <si>
    <t xml:space="preserve">Reading 3</t>
  </si>
  <si>
    <t xml:space="preserve">Average</t>
  </si>
  <si>
    <t xml:space="preserve">Green</t>
  </si>
  <si>
    <t xml:space="preserve">&lt;1mm deviation. Measurement seems ok. Continue.</t>
  </si>
  <si>
    <t xml:space="preserve">Yellow</t>
  </si>
  <si>
    <t xml:space="preserve">&gt;1mm deviation warning. Double-check your measurement.</t>
  </si>
  <si>
    <t xml:space="preserve">Red</t>
  </si>
  <si>
    <t xml:space="preserve">&gt;5mm deviation warning. Steps/mm or large measurement error.</t>
  </si>
  <si>
    <t xml:space="preserve">Results</t>
  </si>
  <si>
    <t xml:space="preserve">What the Results Mean</t>
  </si>
  <si>
    <t xml:space="preserve">Error</t>
  </si>
  <si>
    <t xml:space="preserve">Correction</t>
  </si>
  <si>
    <t xml:space="preserve">If X and Y errors are both negative, your print is undersize by the percentage shown.</t>
  </si>
  <si>
    <t xml:space="preserve">X</t>
  </si>
  <si>
    <t xml:space="preserve">If X and Y errors are both positive, your print is oversize by the percentage shown.</t>
  </si>
  <si>
    <t xml:space="preserve">Y</t>
  </si>
  <si>
    <t xml:space="preserve">If X and Y errors are very different from each other, check your steps/mm and belt tension.</t>
  </si>
  <si>
    <t xml:space="preserve">If you have CoreXY, X and Y are 'locked' to each other so use the average of the two errors.</t>
  </si>
  <si>
    <t xml:space="preserve">Measured</t>
  </si>
  <si>
    <t xml:space="preserve">For X and Y see 'Fix Size' below. For skew see 'Fix Skew'</t>
  </si>
  <si>
    <t xml:space="preserve">Angle</t>
  </si>
  <si>
    <t xml:space="preserve">Inner and Outer errors are averages that include X and Y dimensions that may be useful to diagnose over/under extrusion.</t>
  </si>
  <si>
    <t xml:space="preserve">Skew</t>
  </si>
  <si>
    <t xml:space="preserve">If inner is negative, and outer is positive, this could indicate over extrusion.</t>
  </si>
  <si>
    <t xml:space="preserve">If inner is positive, and outer is negative, this could indicate under extrusion.</t>
  </si>
  <si>
    <t xml:space="preserve">Inner</t>
  </si>
  <si>
    <t xml:space="preserve">Tips For Implementation</t>
  </si>
  <si>
    <t xml:space="preserve">Outer</t>
  </si>
  <si>
    <t xml:space="preserve">Ensure you have calibration Extuder Step/mm before doing this test.</t>
  </si>
  <si>
    <t xml:space="preserve">Ensure you have XYZ Steps/mm set approximately correct before doing this test.</t>
  </si>
  <si>
    <t xml:space="preserve">Fix Skew</t>
  </si>
  <si>
    <t xml:space="preserve">If you have quite large skew error (&gt;0.5°), correct this first before doing XY scale compensation.</t>
  </si>
  <si>
    <t xml:space="preserve">Note: Because of the way excel works, you may find "," and "." get switched for your regional language settings.</t>
  </si>
  <si>
    <t xml:space="preserve">Superslicer is the only slicer with Material XY Shrinkage compensation. If you use Cura, PS, ideamaker etc you will have to use steps/mm (or rotation distance) for the printer instead, or remember to scale the print for different materials</t>
  </si>
  <si>
    <t xml:space="preserve">Klipper G Code Fix</t>
  </si>
  <si>
    <t xml:space="preserve">Add</t>
  </si>
  <si>
    <t xml:space="preserve">[skew_correction] </t>
  </si>
  <si>
    <t xml:space="preserve">to printer.cfg</t>
  </si>
  <si>
    <t xml:space="preserve">Send Command</t>
  </si>
  <si>
    <t xml:space="preserve">via console</t>
  </si>
  <si>
    <t xml:space="preserve">SAVE_CONFIG</t>
  </si>
  <si>
    <t xml:space="preserve">SKEW_PROFILE LOAD=CaliFlower</t>
  </si>
  <si>
    <t xml:space="preserve">to end of start G code</t>
  </si>
  <si>
    <t xml:space="preserve">SET_SKEW CLEAR=1</t>
  </si>
  <si>
    <t xml:space="preserve">to start of end G code</t>
  </si>
  <si>
    <t xml:space="preserve">Marlin Firmware Adjustment</t>
  </si>
  <si>
    <t xml:space="preserve">to firmware</t>
  </si>
  <si>
    <t xml:space="preserve">Marlin Firmware Adjustment (alternative)</t>
  </si>
  <si>
    <t xml:space="preserve">Marlin G-Code Adjustment</t>
  </si>
  <si>
    <t xml:space="preserve">Share</t>
  </si>
  <si>
    <t xml:space="preserve">Feel free to share your success and results on twitter, facebook, instagram etc</t>
  </si>
  <si>
    <t xml:space="preserve">Ensure</t>
  </si>
  <si>
    <t xml:space="preserve">in firmware</t>
  </si>
  <si>
    <t xml:space="preserve">Tag me using @Adam_V3D and use #califlower</t>
  </si>
  <si>
    <t xml:space="preserve">RepRap Firmware Adjustment</t>
  </si>
  <si>
    <t xml:space="preserve">to config.g</t>
  </si>
  <si>
    <t xml:space="preserve">Bambu Firmware</t>
  </si>
  <si>
    <t xml:space="preserve">Warning: Bambu Labs have warned that their implementation of skew correction is not fully tested and may have undesired results.</t>
  </si>
  <si>
    <t xml:space="preserve">To add skew compensation</t>
  </si>
  <si>
    <t xml:space="preserve">Save as new printer such as appended with "skew g code"</t>
  </si>
  <si>
    <t xml:space="preserve">Run one print</t>
  </si>
  <si>
    <t xml:space="preserve">If ok</t>
  </si>
  <si>
    <t xml:space="preserve">Go back to stock printer profile</t>
  </si>
  <si>
    <t xml:space="preserve">If not ok</t>
  </si>
  <si>
    <t xml:space="preserve">Update M1005, reprint</t>
  </si>
  <si>
    <t xml:space="preserve">in start G code</t>
  </si>
  <si>
    <t xml:space="preserve">If you need to reset skew</t>
  </si>
  <si>
    <t xml:space="preserve">Remove</t>
  </si>
  <si>
    <t xml:space="preserve">above commands</t>
  </si>
  <si>
    <t xml:space="preserve">from start G code</t>
  </si>
  <si>
    <t xml:space="preserve">Fix Size</t>
  </si>
  <si>
    <t xml:space="preserve">Material XY shinkage Compensation</t>
  </si>
  <si>
    <t xml:space="preserve">Super/Orca Slicer</t>
  </si>
  <si>
    <t xml:space="preserve">Or</t>
  </si>
  <si>
    <t xml:space="preserve">XY Part Scale (%)</t>
  </si>
  <si>
    <t xml:space="preserve">Steps/mm</t>
  </si>
  <si>
    <t xml:space="preserve">Input your values below</t>
  </si>
  <si>
    <t xml:space="preserve">Current Steps/mm (X)</t>
  </si>
  <si>
    <t xml:space="preserve">Current Steps/mm (Y)</t>
  </si>
  <si>
    <t xml:space="preserve">New Steps/mm (X)</t>
  </si>
  <si>
    <t xml:space="preserve">New Steps/mm (Y)</t>
  </si>
  <si>
    <t xml:space="preserve">Rotation Distance</t>
  </si>
  <si>
    <t xml:space="preserve">Current Rot. Dist. (X)</t>
  </si>
  <si>
    <t xml:space="preserve">Current Rot. Dist. (Y)</t>
  </si>
  <si>
    <t xml:space="preserve">New Rot. Dist. (X)</t>
  </si>
  <si>
    <t xml:space="preserve">New Rot. Dist. (Y)</t>
  </si>
  <si>
    <t xml:space="preserve">Design</t>
  </si>
  <si>
    <t xml:space="preserve">% Error</t>
  </si>
  <si>
    <t xml:space="preserve">H1 (a)</t>
  </si>
  <si>
    <t xml:space="preserve">H2 (b)</t>
  </si>
  <si>
    <t xml:space="preserve">Klipper</t>
  </si>
  <si>
    <t xml:space="preserve">SKEW_PROFILE SAVE=CaliFlower</t>
  </si>
  <si>
    <t xml:space="preserve">GET_CURRENT_SKEW</t>
  </si>
  <si>
    <t xml:space="preserve">Marlin</t>
  </si>
  <si>
    <t xml:space="preserve">if ENABLED(SKEW_CORRECTION)</t>
  </si>
  <si>
    <t xml:space="preserve">AC</t>
  </si>
  <si>
    <t xml:space="preserve">From Marlin Firmware:</t>
  </si>
  <si>
    <t xml:space="preserve">AB</t>
  </si>
  <si>
    <t xml:space="preserve">Compute AB : SQRT(2*AC*AC+2*BD*BD-4*AD*AD)/2</t>
  </si>
  <si>
    <t xml:space="preserve">AD</t>
  </si>
  <si>
    <t xml:space="preserve">XY_SKEW_FACTOR : TAN(PI/2-ACOS((AC*AC-AB*AB-AD*AD)/(2*AB*AD)))</t>
  </si>
  <si>
    <t xml:space="preserve">Skew Factor</t>
  </si>
  <si>
    <t xml:space="preserve">Marlin G Code</t>
  </si>
  <si>
    <t xml:space="preserve">#define SKEW_CORRECTION_GCODE</t>
  </si>
  <si>
    <t xml:space="preserve">G Code</t>
  </si>
  <si>
    <t xml:space="preserve">More info on Marlin EEPROM</t>
  </si>
  <si>
    <t xml:space="preserve">EEPROM</t>
  </si>
  <si>
    <t xml:space="preserve">M500</t>
  </si>
  <si>
    <t xml:space="preserve">https://marlinfw.org/docs/features/eeprom.html</t>
  </si>
  <si>
    <t xml:space="preserve">RRF</t>
  </si>
  <si>
    <t xml:space="preserve">Example</t>
  </si>
  <si>
    <t xml:space="preserve">M556 S100 X0.7 Y-0.2 Z0.6</t>
  </si>
  <si>
    <t xml:space="preserve">X value is XY compensation, others involve Z</t>
  </si>
  <si>
    <t xml:space="preserve">Value</t>
  </si>
  <si>
    <t xml:space="preserve">Reset</t>
  </si>
  <si>
    <t xml:space="preserve">M1005 I0</t>
  </si>
  <si>
    <t xml:space="preserve">Save</t>
  </si>
  <si>
    <t xml:space="preserve">Slicer</t>
  </si>
  <si>
    <t xml:space="preserve">Super/Orca slicer</t>
  </si>
  <si>
    <t xml:space="preserve">Scaling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</si>
</sst>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0.00%"/>
    <numFmt numFmtId="168" formatCode="0.00\°"/>
    <numFmt numFmtId="169" formatCode="0.00000"/>
    <numFmt numFmtId="170" formatCode="0.000000000"/>
    <numFmt numFmtId="171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28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theme="0" tint="-0.05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double">
        <color theme="2" tint="-0.25"/>
      </right>
      <top/>
      <bottom/>
      <diagonal/>
    </border>
    <border diagonalUp="false" diagonalDown="false">
      <left/>
      <right/>
      <top/>
      <bottom style="double">
        <color theme="2" tint="-0.25"/>
      </bottom>
      <diagonal/>
    </border>
    <border diagonalUp="false" diagonalDown="false">
      <left/>
      <right style="double">
        <color theme="2" tint="-0.25"/>
      </right>
      <top/>
      <bottom style="double">
        <color theme="2" tint="-0.25"/>
      </bottom>
      <diagonal/>
    </border>
    <border diagonalUp="false" diagonalDown="false">
      <left style="double">
        <color theme="2" tint="-0.25"/>
      </left>
      <right/>
      <top/>
      <bottom/>
      <diagonal/>
    </border>
    <border diagonalUp="false" diagonalDown="false">
      <left style="dashed">
        <color theme="2" tint="-0.25"/>
      </left>
      <right/>
      <top style="dashed">
        <color theme="2" tint="-0.25"/>
      </top>
      <bottom/>
      <diagonal/>
    </border>
    <border diagonalUp="false" diagonalDown="false">
      <left/>
      <right/>
      <top style="dashed">
        <color theme="2" tint="-0.25"/>
      </top>
      <bottom/>
      <diagonal/>
    </border>
    <border diagonalUp="false" diagonalDown="false">
      <left/>
      <right style="dashed">
        <color theme="2" tint="-0.25"/>
      </right>
      <top style="dashed">
        <color theme="2" tint="-0.25"/>
      </top>
      <bottom/>
      <diagonal/>
    </border>
    <border diagonalUp="false" diagonalDown="false">
      <left style="double">
        <color theme="2" tint="-0.25"/>
      </left>
      <right/>
      <top/>
      <bottom style="double">
        <color theme="2" tint="-0.25"/>
      </bottom>
      <diagonal/>
    </border>
    <border diagonalUp="false" diagonalDown="false">
      <left style="dashed">
        <color theme="2" tint="-0.25"/>
      </left>
      <right/>
      <top/>
      <bottom/>
      <diagonal/>
    </border>
    <border diagonalUp="false" diagonalDown="false">
      <left/>
      <right style="dashed">
        <color theme="2" tint="-0.25"/>
      </right>
      <top/>
      <bottom/>
      <diagonal/>
    </border>
    <border diagonalUp="false" diagonalDown="false">
      <left style="dashed">
        <color theme="2" tint="-0.25"/>
      </left>
      <right/>
      <top/>
      <bottom style="dashed">
        <color theme="2" tint="-0.25"/>
      </bottom>
      <diagonal/>
    </border>
    <border diagonalUp="false" diagonalDown="false">
      <left/>
      <right/>
      <top/>
      <bottom style="dashed">
        <color theme="2" tint="-0.25"/>
      </bottom>
      <diagonal/>
    </border>
    <border diagonalUp="false" diagonalDown="false">
      <left/>
      <right style="dashed">
        <color theme="2" tint="-0.25"/>
      </right>
      <top/>
      <bottom style="dashed">
        <color theme="2" tint="-0.25"/>
      </bottom>
      <diagonal/>
    </border>
    <border diagonalUp="false" diagonalDown="false">
      <left style="dashed">
        <color theme="2" tint="-0.25"/>
      </left>
      <right style="dashed">
        <color theme="2" tint="-0.25"/>
      </right>
      <top/>
      <bottom style="dashed">
        <color theme="2" tint="-0.25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5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Bad" xfId="22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9360</xdr:colOff>
      <xdr:row>0</xdr:row>
      <xdr:rowOff>247680</xdr:rowOff>
    </xdr:from>
    <xdr:to>
      <xdr:col>13</xdr:col>
      <xdr:colOff>47160</xdr:colOff>
      <xdr:row>20</xdr:row>
      <xdr:rowOff>122760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7955280" y="247680"/>
          <a:ext cx="4851720" cy="430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false" showRowColHeaders="true" showZeros="true" rightToLeft="false" tabSelected="true" showOutlineSymbols="true" defaultGridColor="true" view="normal" topLeftCell="A22" colorId="64" zoomScale="110" zoomScaleNormal="110" zoomScalePageLayoutView="100" workbookViewId="0">
      <selection pane="topLeft" activeCell="C41" activeCellId="0" sqref="C4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9.72"/>
    <col collapsed="false" customWidth="true" hidden="false" outlineLevel="0" max="3" min="3" style="0" width="18.14"/>
    <col collapsed="false" customWidth="true" hidden="false" outlineLevel="0" max="4" min="4" style="0" width="18.71"/>
    <col collapsed="false" customWidth="true" hidden="false" outlineLevel="0" max="5" min="5" style="0" width="20.86"/>
  </cols>
  <sheetData>
    <row r="1" customFormat="false" ht="33.8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s="4" customFormat="true" ht="18" hidden="false" customHeight="true" outlineLevel="0" collapsed="false">
      <c r="A3" s="3" t="s">
        <v>2</v>
      </c>
    </row>
    <row r="4" s="4" customFormat="true" ht="17.25" hidden="false" customHeight="true" outlineLevel="0" collapsed="false">
      <c r="A4" s="3"/>
      <c r="B4" s="5" t="s">
        <v>3</v>
      </c>
      <c r="C4" s="6" t="n">
        <v>1</v>
      </c>
    </row>
    <row r="5" s="4" customFormat="true" ht="17.25" hidden="false" customHeight="true" outlineLevel="0" collapsed="false">
      <c r="A5" s="3"/>
      <c r="B5" s="7" t="s">
        <v>4</v>
      </c>
      <c r="D5" s="7"/>
    </row>
    <row r="7" customFormat="false" ht="18.75" hidden="false" customHeight="true" outlineLevel="0" collapsed="false">
      <c r="A7" s="8"/>
      <c r="B7" s="9" t="s">
        <v>5</v>
      </c>
      <c r="C7" s="9" t="s">
        <v>6</v>
      </c>
      <c r="D7" s="10" t="s">
        <v>7</v>
      </c>
      <c r="E7" s="9" t="s">
        <v>8</v>
      </c>
    </row>
    <row r="8" customFormat="false" ht="16.4" hidden="false" customHeight="false" outlineLevel="0" collapsed="false">
      <c r="A8" s="11" t="n">
        <v>1</v>
      </c>
      <c r="B8" s="12" t="n">
        <v>99.8</v>
      </c>
      <c r="C8" s="13" t="n">
        <v>99.8</v>
      </c>
      <c r="D8" s="13" t="n">
        <v>99.8</v>
      </c>
      <c r="E8" s="14" t="n">
        <f aca="false">AVERAGE(B8:D8)</f>
        <v>99.8</v>
      </c>
    </row>
    <row r="9" customFormat="false" ht="16.4" hidden="false" customHeight="false" outlineLevel="0" collapsed="false">
      <c r="A9" s="11" t="n">
        <v>2</v>
      </c>
      <c r="B9" s="15" t="n">
        <v>49.87</v>
      </c>
      <c r="C9" s="16" t="n">
        <v>49.88</v>
      </c>
      <c r="D9" s="16" t="n">
        <v>49.88</v>
      </c>
      <c r="E9" s="14" t="n">
        <f aca="false">AVERAGE(B9:D9)</f>
        <v>49.8766666666667</v>
      </c>
    </row>
    <row r="10" customFormat="false" ht="16.4" hidden="false" customHeight="false" outlineLevel="0" collapsed="false">
      <c r="A10" s="11" t="n">
        <v>3</v>
      </c>
      <c r="B10" s="12" t="n">
        <v>99.88</v>
      </c>
      <c r="C10" s="13" t="n">
        <v>99.9</v>
      </c>
      <c r="D10" s="13" t="n">
        <v>99.96</v>
      </c>
      <c r="E10" s="14" t="n">
        <f aca="false">AVERAGE(B10:D10)</f>
        <v>99.9133333333333</v>
      </c>
    </row>
    <row r="11" customFormat="false" ht="16.4" hidden="false" customHeight="false" outlineLevel="0" collapsed="false">
      <c r="A11" s="11" t="n">
        <v>4</v>
      </c>
      <c r="B11" s="15" t="n">
        <v>49.99</v>
      </c>
      <c r="C11" s="16" t="n">
        <v>49.98</v>
      </c>
      <c r="D11" s="16" t="n">
        <v>49.97</v>
      </c>
      <c r="E11" s="14" t="n">
        <f aca="false">AVERAGE(B11:D11)</f>
        <v>49.98</v>
      </c>
    </row>
    <row r="12" customFormat="false" ht="16.4" hidden="false" customHeight="false" outlineLevel="0" collapsed="false">
      <c r="A12" s="11" t="n">
        <v>5</v>
      </c>
      <c r="B12" s="12" t="n">
        <v>99.92</v>
      </c>
      <c r="C12" s="13" t="n">
        <v>99.88</v>
      </c>
      <c r="D12" s="13" t="n">
        <v>99.89</v>
      </c>
      <c r="E12" s="14" t="n">
        <f aca="false">AVERAGE(B12:D12)</f>
        <v>99.8966666666667</v>
      </c>
    </row>
    <row r="13" customFormat="false" ht="16.4" hidden="false" customHeight="false" outlineLevel="0" collapsed="false">
      <c r="A13" s="11" t="n">
        <v>6</v>
      </c>
      <c r="B13" s="15" t="n">
        <v>49.96</v>
      </c>
      <c r="C13" s="16" t="n">
        <v>49.98</v>
      </c>
      <c r="D13" s="16" t="n">
        <v>49.98</v>
      </c>
      <c r="E13" s="14" t="n">
        <f aca="false">AVERAGE(B13:D13)</f>
        <v>49.9733333333333</v>
      </c>
    </row>
    <row r="14" customFormat="false" ht="16.4" hidden="false" customHeight="false" outlineLevel="0" collapsed="false">
      <c r="A14" s="11" t="n">
        <v>7</v>
      </c>
      <c r="B14" s="12" t="n">
        <v>99.98</v>
      </c>
      <c r="C14" s="13" t="n">
        <v>99.96</v>
      </c>
      <c r="D14" s="13" t="n">
        <v>99.96</v>
      </c>
      <c r="E14" s="14" t="n">
        <f aca="false">AVERAGE(B14:D14)</f>
        <v>99.9666666666667</v>
      </c>
    </row>
    <row r="15" customFormat="false" ht="16.4" hidden="false" customHeight="false" outlineLevel="0" collapsed="false">
      <c r="A15" s="11" t="n">
        <v>8</v>
      </c>
      <c r="B15" s="15" t="n">
        <v>49.98</v>
      </c>
      <c r="C15" s="16" t="n">
        <v>49.97</v>
      </c>
      <c r="D15" s="16" t="n">
        <v>49.98</v>
      </c>
      <c r="E15" s="14" t="n">
        <f aca="false">AVERAGE(B15:D15)</f>
        <v>49.9766666666667</v>
      </c>
    </row>
    <row r="16" customFormat="false" ht="16.4" hidden="false" customHeight="false" outlineLevel="0" collapsed="false">
      <c r="A16" s="11" t="n">
        <v>9</v>
      </c>
      <c r="B16" s="12" t="n">
        <v>99.83</v>
      </c>
      <c r="C16" s="13" t="n">
        <v>99.73</v>
      </c>
      <c r="D16" s="13" t="n">
        <v>99.75</v>
      </c>
      <c r="E16" s="14" t="n">
        <f aca="false">AVERAGE(B16:D16)</f>
        <v>99.77</v>
      </c>
    </row>
    <row r="17" customFormat="false" ht="16.4" hidden="false" customHeight="false" outlineLevel="0" collapsed="false">
      <c r="A17" s="11" t="n">
        <v>10</v>
      </c>
      <c r="B17" s="12" t="n">
        <v>99.76</v>
      </c>
      <c r="C17" s="13" t="n">
        <v>99.76</v>
      </c>
      <c r="D17" s="13" t="n">
        <v>99.77</v>
      </c>
      <c r="E17" s="14" t="n">
        <f aca="false">AVERAGE(B17:D17)</f>
        <v>99.7633333333333</v>
      </c>
    </row>
    <row r="19" customFormat="false" ht="15" hidden="false" customHeight="false" outlineLevel="0" collapsed="false">
      <c r="B19" s="17" t="s">
        <v>9</v>
      </c>
      <c r="C19" s="18" t="s">
        <v>10</v>
      </c>
      <c r="D19" s="18"/>
      <c r="E19" s="18"/>
    </row>
    <row r="20" customFormat="false" ht="15" hidden="false" customHeight="false" outlineLevel="0" collapsed="false">
      <c r="B20" s="19" t="s">
        <v>11</v>
      </c>
      <c r="C20" s="20" t="s">
        <v>12</v>
      </c>
      <c r="D20" s="20"/>
      <c r="E20" s="20"/>
    </row>
    <row r="21" customFormat="false" ht="15" hidden="false" customHeight="false" outlineLevel="0" collapsed="false">
      <c r="B21" s="21" t="s">
        <v>13</v>
      </c>
      <c r="C21" s="22" t="s">
        <v>14</v>
      </c>
      <c r="D21" s="22"/>
      <c r="E21" s="22"/>
    </row>
    <row r="23" customFormat="false" ht="22.05" hidden="false" customHeight="false" outlineLevel="0" collapsed="false">
      <c r="A23" s="2" t="s">
        <v>15</v>
      </c>
      <c r="G23" s="23" t="s">
        <v>16</v>
      </c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customFormat="false" ht="15" hidden="false" customHeight="false" outlineLevel="0" collapsed="false">
      <c r="A24" s="26"/>
      <c r="B24" s="27" t="s">
        <v>17</v>
      </c>
      <c r="C24" s="9" t="s">
        <v>18</v>
      </c>
      <c r="G24" s="28" t="s">
        <v>19</v>
      </c>
      <c r="Q24" s="29"/>
    </row>
    <row r="25" customFormat="false" ht="15" hidden="false" customHeight="false" outlineLevel="0" collapsed="false">
      <c r="A25" s="30" t="s">
        <v>20</v>
      </c>
      <c r="B25" s="31" t="n">
        <f aca="false">Data!B13</f>
        <v>-0.00143333333333334</v>
      </c>
      <c r="C25" s="32" t="n">
        <f aca="false">B25*-1</f>
        <v>0.00143333333333334</v>
      </c>
      <c r="G25" s="28" t="s">
        <v>21</v>
      </c>
      <c r="Q25" s="29"/>
    </row>
    <row r="26" customFormat="false" ht="15" hidden="false" customHeight="false" outlineLevel="0" collapsed="false">
      <c r="A26" s="30" t="s">
        <v>22</v>
      </c>
      <c r="B26" s="31" t="n">
        <f aca="false">Data!C13</f>
        <v>-0.000591666666666733</v>
      </c>
      <c r="C26" s="32" t="n">
        <f aca="false">B26*-1</f>
        <v>0.000591666666666733</v>
      </c>
      <c r="G26" s="28" t="s">
        <v>23</v>
      </c>
      <c r="Q26" s="29"/>
    </row>
    <row r="27" customFormat="false" ht="15" hidden="false" customHeight="false" outlineLevel="0" collapsed="false">
      <c r="A27" s="33"/>
      <c r="G27" s="28" t="s">
        <v>24</v>
      </c>
      <c r="Q27" s="29"/>
    </row>
    <row r="28" customFormat="false" ht="15" hidden="false" customHeight="false" outlineLevel="0" collapsed="false">
      <c r="A28" s="26"/>
      <c r="B28" s="9" t="s">
        <v>25</v>
      </c>
      <c r="C28" s="9" t="s">
        <v>18</v>
      </c>
      <c r="G28" s="28" t="s">
        <v>26</v>
      </c>
      <c r="Q28" s="29"/>
    </row>
    <row r="29" customFormat="false" ht="15" hidden="false" customHeight="false" outlineLevel="0" collapsed="false">
      <c r="A29" s="30" t="s">
        <v>27</v>
      </c>
      <c r="B29" s="34" t="n">
        <f aca="false">Data!B19</f>
        <v>89.9961713416085</v>
      </c>
      <c r="G29" s="28" t="s">
        <v>28</v>
      </c>
      <c r="Q29" s="29"/>
    </row>
    <row r="30" customFormat="false" ht="15" hidden="false" customHeight="false" outlineLevel="0" collapsed="false">
      <c r="A30" s="30" t="s">
        <v>29</v>
      </c>
      <c r="B30" s="34" t="n">
        <f aca="false">Data!B20</f>
        <v>-0.003828658391555</v>
      </c>
      <c r="C30" s="34" t="n">
        <f aca="false">-B30</f>
        <v>0.003828658391555</v>
      </c>
      <c r="G30" s="28" t="s">
        <v>30</v>
      </c>
      <c r="Q30" s="29"/>
    </row>
    <row r="31" customFormat="false" ht="15" hidden="false" customHeight="false" outlineLevel="0" collapsed="false">
      <c r="A31" s="35"/>
      <c r="B31" s="34"/>
      <c r="C31" s="34"/>
      <c r="G31" s="36" t="s">
        <v>31</v>
      </c>
      <c r="H31" s="37"/>
      <c r="I31" s="37"/>
      <c r="J31" s="37"/>
      <c r="K31" s="37"/>
      <c r="L31" s="37"/>
      <c r="M31" s="37"/>
      <c r="N31" s="37"/>
      <c r="O31" s="37"/>
      <c r="P31" s="37"/>
      <c r="Q31" s="38"/>
    </row>
    <row r="32" customFormat="false" ht="15" hidden="false" customHeight="false" outlineLevel="0" collapsed="false">
      <c r="A32" s="26"/>
      <c r="B32" s="9" t="s">
        <v>25</v>
      </c>
      <c r="C32" s="9" t="s">
        <v>18</v>
      </c>
    </row>
    <row r="33" customFormat="false" ht="22.05" hidden="false" customHeight="false" outlineLevel="0" collapsed="false">
      <c r="A33" s="39" t="s">
        <v>32</v>
      </c>
      <c r="B33" s="31" t="n">
        <f aca="false">Data!D13</f>
        <v>-0.000516666666666694</v>
      </c>
      <c r="C33" s="32" t="n">
        <f aca="false">B33*-1</f>
        <v>0.000516666666666694</v>
      </c>
      <c r="G33" s="23" t="s">
        <v>33</v>
      </c>
      <c r="H33" s="24"/>
      <c r="I33" s="24"/>
      <c r="J33" s="24"/>
      <c r="K33" s="24"/>
      <c r="L33" s="24"/>
      <c r="M33" s="24"/>
      <c r="N33" s="24"/>
      <c r="O33" s="25"/>
    </row>
    <row r="34" customFormat="false" ht="15" hidden="false" customHeight="false" outlineLevel="0" collapsed="false">
      <c r="A34" s="39" t="s">
        <v>34</v>
      </c>
      <c r="B34" s="31" t="n">
        <f aca="false">Data!E13</f>
        <v>-0.00150833333333338</v>
      </c>
      <c r="C34" s="32" t="n">
        <f aca="false">B34*-1</f>
        <v>0.00150833333333338</v>
      </c>
      <c r="G34" s="28" t="s">
        <v>35</v>
      </c>
      <c r="H34" s="40"/>
      <c r="I34" s="40"/>
      <c r="J34" s="40"/>
      <c r="K34" s="40"/>
      <c r="L34" s="40"/>
      <c r="M34" s="40"/>
      <c r="N34" s="40"/>
      <c r="O34" s="41"/>
    </row>
    <row r="35" customFormat="false" ht="15" hidden="false" customHeight="false" outlineLevel="0" collapsed="false">
      <c r="G35" s="28" t="s">
        <v>36</v>
      </c>
      <c r="H35" s="40"/>
      <c r="I35" s="40"/>
      <c r="J35" s="40"/>
      <c r="K35" s="40"/>
      <c r="L35" s="40"/>
      <c r="M35" s="40"/>
      <c r="N35" s="40"/>
      <c r="O35" s="41"/>
    </row>
    <row r="36" customFormat="false" ht="15" hidden="false" customHeight="true" outlineLevel="0" collapsed="false">
      <c r="A36" s="2" t="s">
        <v>37</v>
      </c>
      <c r="G36" s="28" t="s">
        <v>38</v>
      </c>
      <c r="H36" s="40"/>
      <c r="I36" s="40"/>
      <c r="J36" s="40"/>
      <c r="K36" s="40"/>
      <c r="L36" s="40"/>
      <c r="M36" s="40"/>
      <c r="N36" s="40"/>
      <c r="O36" s="41"/>
    </row>
    <row r="37" customFormat="false" ht="15" hidden="false" customHeight="true" outlineLevel="0" collapsed="false">
      <c r="A37" s="4" t="s">
        <v>39</v>
      </c>
      <c r="G37" s="42" t="s">
        <v>40</v>
      </c>
      <c r="H37" s="42"/>
      <c r="I37" s="42"/>
      <c r="J37" s="42"/>
      <c r="K37" s="42"/>
      <c r="L37" s="42"/>
      <c r="M37" s="42"/>
      <c r="N37" s="42"/>
      <c r="O37" s="42"/>
    </row>
    <row r="38" customFormat="false" ht="15" hidden="false" customHeight="true" outlineLevel="0" collapsed="false">
      <c r="A38" s="43" t="s">
        <v>41</v>
      </c>
      <c r="G38" s="42"/>
      <c r="H38" s="42"/>
      <c r="I38" s="42"/>
      <c r="J38" s="42"/>
      <c r="K38" s="42"/>
      <c r="L38" s="42"/>
      <c r="M38" s="42"/>
      <c r="N38" s="42"/>
      <c r="O38" s="42"/>
    </row>
    <row r="39" customFormat="false" ht="15" hidden="false" customHeight="true" outlineLevel="0" collapsed="false">
      <c r="G39" s="42"/>
      <c r="H39" s="42"/>
      <c r="I39" s="42"/>
      <c r="J39" s="42"/>
      <c r="K39" s="42"/>
      <c r="L39" s="42"/>
      <c r="M39" s="42"/>
      <c r="N39" s="42"/>
      <c r="O39" s="42"/>
    </row>
    <row r="40" customFormat="false" ht="15" hidden="false" customHeight="false" outlineLevel="0" collapsed="false">
      <c r="B40" s="44" t="s">
        <v>42</v>
      </c>
      <c r="C40" s="45" t="s">
        <v>43</v>
      </c>
      <c r="D40" s="46"/>
      <c r="E40" s="47" t="s">
        <v>44</v>
      </c>
      <c r="G40" s="48"/>
      <c r="H40" s="48"/>
      <c r="I40" s="48"/>
      <c r="J40" s="48"/>
      <c r="K40" s="48"/>
      <c r="L40" s="48"/>
      <c r="M40" s="48"/>
      <c r="N40" s="48"/>
    </row>
    <row r="41" customFormat="false" ht="15" hidden="false" customHeight="false" outlineLevel="0" collapsed="false">
      <c r="B41" s="44" t="s">
        <v>45</v>
      </c>
      <c r="C41" s="49" t="str">
        <f aca="false">Data!A23</f>
        <v>SET_SKEW XY=99.77,99.76,70.61</v>
      </c>
      <c r="D41" s="46"/>
      <c r="E41" s="47" t="s">
        <v>46</v>
      </c>
      <c r="H41" s="48"/>
      <c r="I41" s="48"/>
      <c r="J41" s="48"/>
      <c r="K41" s="48"/>
      <c r="L41" s="48"/>
      <c r="M41" s="48"/>
      <c r="N41" s="48"/>
    </row>
    <row r="42" customFormat="false" ht="15" hidden="false" customHeight="false" outlineLevel="0" collapsed="false">
      <c r="B42" s="44" t="s">
        <v>45</v>
      </c>
      <c r="C42" s="49" t="str">
        <f aca="false">Data!A24</f>
        <v>SKEW_PROFILE SAVE=CaliFlower</v>
      </c>
      <c r="D42" s="46"/>
      <c r="E42" s="47" t="s">
        <v>46</v>
      </c>
      <c r="H42" s="48"/>
      <c r="I42" s="48"/>
      <c r="J42" s="48"/>
      <c r="K42" s="48"/>
      <c r="L42" s="48"/>
      <c r="M42" s="48"/>
      <c r="N42" s="48"/>
    </row>
    <row r="43" customFormat="false" ht="15" hidden="false" customHeight="false" outlineLevel="0" collapsed="false">
      <c r="B43" s="44" t="s">
        <v>45</v>
      </c>
      <c r="C43" s="45" t="s">
        <v>47</v>
      </c>
      <c r="D43" s="46"/>
      <c r="E43" s="47" t="s">
        <v>46</v>
      </c>
      <c r="H43" s="48"/>
      <c r="I43" s="48"/>
      <c r="J43" s="48"/>
      <c r="K43" s="48"/>
      <c r="L43" s="48"/>
      <c r="M43" s="48"/>
      <c r="N43" s="48"/>
    </row>
    <row r="44" customFormat="false" ht="15" hidden="false" customHeight="false" outlineLevel="0" collapsed="false">
      <c r="B44" s="44" t="s">
        <v>42</v>
      </c>
      <c r="C44" s="45" t="s">
        <v>48</v>
      </c>
      <c r="D44" s="46"/>
      <c r="E44" s="47" t="s">
        <v>49</v>
      </c>
    </row>
    <row r="45" customFormat="false" ht="15" hidden="false" customHeight="false" outlineLevel="0" collapsed="false">
      <c r="B45" s="44" t="s">
        <v>42</v>
      </c>
      <c r="C45" s="45" t="s">
        <v>50</v>
      </c>
      <c r="D45" s="46"/>
      <c r="E45" s="47" t="s">
        <v>51</v>
      </c>
    </row>
    <row r="46" customFormat="false" ht="15" hidden="false" customHeight="false" outlineLevel="0" collapsed="false">
      <c r="B46" s="46"/>
      <c r="C46" s="46"/>
      <c r="D46" s="46"/>
      <c r="E46" s="46"/>
    </row>
    <row r="47" customFormat="false" ht="15" hidden="false" customHeight="false" outlineLevel="0" collapsed="false">
      <c r="A47" s="43" t="s">
        <v>52</v>
      </c>
    </row>
    <row r="49" customFormat="false" ht="15" hidden="false" customHeight="false" outlineLevel="0" collapsed="false">
      <c r="B49" s="50" t="s">
        <v>42</v>
      </c>
      <c r="C49" s="51" t="str">
        <f aca="false">Data!A28</f>
        <v>if ENABLED(SKEW_CORRECTION)</v>
      </c>
      <c r="E49" s="52" t="s">
        <v>53</v>
      </c>
    </row>
    <row r="50" customFormat="false" ht="15" hidden="false" customHeight="false" outlineLevel="0" collapsed="false">
      <c r="B50" s="50" t="s">
        <v>42</v>
      </c>
      <c r="C50" s="51" t="str">
        <f aca="false">Data!A29</f>
        <v> define XY_DIAG_AC 99.77</v>
      </c>
      <c r="E50" s="52" t="s">
        <v>53</v>
      </c>
    </row>
    <row r="51" customFormat="false" ht="15" hidden="false" customHeight="false" outlineLevel="0" collapsed="false">
      <c r="B51" s="50" t="s">
        <v>42</v>
      </c>
      <c r="C51" s="51" t="str">
        <f aca="false">Data!A30</f>
        <v> define XY_DIAG_BD 99.7633</v>
      </c>
      <c r="E51" s="52" t="s">
        <v>53</v>
      </c>
    </row>
    <row r="52" customFormat="false" ht="15" hidden="false" customHeight="false" outlineLevel="0" collapsed="false">
      <c r="B52" s="50" t="s">
        <v>42</v>
      </c>
      <c r="C52" s="51" t="str">
        <f aca="false">Data!A31</f>
        <v> define XY_SIDE_AD 70.6093</v>
      </c>
      <c r="E52" s="52" t="s">
        <v>53</v>
      </c>
    </row>
    <row r="53" customFormat="false" ht="15" hidden="false" customHeight="false" outlineLevel="0" collapsed="false">
      <c r="B53" s="50"/>
      <c r="E53" s="52"/>
    </row>
    <row r="54" customFormat="false" ht="15" hidden="false" customHeight="false" outlineLevel="0" collapsed="false">
      <c r="A54" s="43" t="s">
        <v>54</v>
      </c>
      <c r="B54" s="50"/>
      <c r="E54" s="52"/>
    </row>
    <row r="55" customFormat="false" ht="15" hidden="false" customHeight="false" outlineLevel="0" collapsed="false">
      <c r="A55" s="43"/>
      <c r="B55" s="50"/>
      <c r="E55" s="52"/>
    </row>
    <row r="56" customFormat="false" ht="15" hidden="false" customHeight="false" outlineLevel="0" collapsed="false">
      <c r="B56" s="50" t="s">
        <v>42</v>
      </c>
      <c r="C56" s="51" t="str">
        <f aca="false">Data!A28</f>
        <v>if ENABLED(SKEW_CORRECTION)</v>
      </c>
      <c r="E56" s="52" t="s">
        <v>53</v>
      </c>
    </row>
    <row r="57" customFormat="false" ht="15" hidden="false" customHeight="false" outlineLevel="0" collapsed="false">
      <c r="B57" s="50" t="s">
        <v>42</v>
      </c>
      <c r="C57" s="51" t="str">
        <f aca="false">Data!A32</f>
        <v> define XY_SKEW_FACTOR -0.002576</v>
      </c>
      <c r="E57" s="52" t="s">
        <v>53</v>
      </c>
    </row>
    <row r="58" customFormat="false" ht="15" hidden="false" customHeight="false" outlineLevel="0" collapsed="false">
      <c r="B58" s="50"/>
      <c r="E58" s="52"/>
    </row>
    <row r="59" customFormat="false" ht="15" hidden="false" customHeight="false" outlineLevel="0" collapsed="false">
      <c r="B59" s="50"/>
      <c r="E59" s="52"/>
    </row>
    <row r="60" customFormat="false" ht="22.05" hidden="false" customHeight="false" outlineLevel="0" collapsed="false">
      <c r="A60" s="43" t="s">
        <v>55</v>
      </c>
      <c r="B60" s="50"/>
      <c r="E60" s="52"/>
      <c r="G60" s="23" t="s">
        <v>56</v>
      </c>
      <c r="H60" s="24"/>
      <c r="I60" s="24"/>
      <c r="J60" s="24"/>
      <c r="K60" s="24"/>
      <c r="L60" s="24"/>
      <c r="M60" s="24"/>
      <c r="N60" s="25"/>
    </row>
    <row r="61" customFormat="false" ht="15" hidden="false" customHeight="false" outlineLevel="0" collapsed="false">
      <c r="B61" s="50"/>
      <c r="E61" s="52"/>
      <c r="G61" s="53" t="s">
        <v>57</v>
      </c>
      <c r="N61" s="29"/>
    </row>
    <row r="62" customFormat="false" ht="15" hidden="false" customHeight="false" outlineLevel="0" collapsed="false">
      <c r="B62" s="44" t="s">
        <v>58</v>
      </c>
      <c r="C62" s="51" t="str">
        <f aca="false">Data!B40</f>
        <v>#define SKEW_CORRECTION_GCODE</v>
      </c>
      <c r="E62" s="47" t="s">
        <v>59</v>
      </c>
      <c r="G62" s="54" t="s">
        <v>60</v>
      </c>
      <c r="H62" s="37"/>
      <c r="I62" s="37"/>
      <c r="J62" s="37"/>
      <c r="K62" s="37"/>
      <c r="L62" s="37"/>
      <c r="M62" s="37"/>
      <c r="N62" s="38"/>
    </row>
    <row r="63" customFormat="false" ht="15" hidden="false" customHeight="false" outlineLevel="0" collapsed="false">
      <c r="B63" s="44" t="s">
        <v>45</v>
      </c>
      <c r="C63" s="51" t="str">
        <f aca="false">Data!B41</f>
        <v>M852 I-0.002576</v>
      </c>
      <c r="E63" s="47" t="s">
        <v>46</v>
      </c>
      <c r="G63" s="55"/>
      <c r="H63" s="55"/>
      <c r="I63" s="55"/>
      <c r="J63" s="55"/>
      <c r="K63" s="55"/>
      <c r="L63" s="55"/>
      <c r="M63" s="55"/>
      <c r="N63" s="55"/>
    </row>
    <row r="64" customFormat="false" ht="15" hidden="false" customHeight="false" outlineLevel="0" collapsed="false">
      <c r="B64" s="44" t="s">
        <v>45</v>
      </c>
      <c r="C64" s="51" t="str">
        <f aca="false">Data!B42</f>
        <v>M500</v>
      </c>
      <c r="E64" s="47" t="s">
        <v>46</v>
      </c>
    </row>
    <row r="65" customFormat="false" ht="15" hidden="false" customHeight="false" outlineLevel="0" collapsed="false">
      <c r="E65" s="52"/>
    </row>
    <row r="66" customFormat="false" ht="15" hidden="false" customHeight="false" outlineLevel="0" collapsed="false">
      <c r="A66" s="43" t="s">
        <v>61</v>
      </c>
      <c r="E66" s="52"/>
    </row>
    <row r="67" customFormat="false" ht="15" hidden="false" customHeight="false" outlineLevel="0" collapsed="false">
      <c r="E67" s="52"/>
    </row>
    <row r="68" customFormat="false" ht="15" hidden="false" customHeight="false" outlineLevel="0" collapsed="false">
      <c r="B68" s="50" t="s">
        <v>42</v>
      </c>
      <c r="C68" s="51" t="str">
        <f aca="false">Data!A47</f>
        <v>M556 S100 X-0.007</v>
      </c>
      <c r="E68" s="52" t="s">
        <v>62</v>
      </c>
    </row>
    <row r="70" customFormat="false" ht="15" hidden="false" customHeight="false" outlineLevel="0" collapsed="false">
      <c r="A70" s="43" t="s">
        <v>63</v>
      </c>
    </row>
    <row r="71" customFormat="false" ht="15" hidden="false" customHeight="false" outlineLevel="0" collapsed="false">
      <c r="A71" s="52" t="s">
        <v>64</v>
      </c>
      <c r="G71" s="55"/>
      <c r="H71" s="55"/>
      <c r="I71" s="55"/>
      <c r="J71" s="55"/>
      <c r="K71" s="55"/>
      <c r="L71" s="55"/>
      <c r="M71" s="55"/>
      <c r="N71" s="55"/>
    </row>
    <row r="72" customFormat="false" ht="15" hidden="false" customHeight="false" outlineLevel="0" collapsed="false">
      <c r="B72" s="56" t="s">
        <v>65</v>
      </c>
      <c r="G72" s="55"/>
      <c r="H72" s="55"/>
      <c r="I72" s="55"/>
      <c r="J72" s="55"/>
      <c r="K72" s="55"/>
      <c r="L72" s="55"/>
      <c r="M72" s="55"/>
      <c r="N72" s="55"/>
    </row>
    <row r="73" customFormat="false" ht="15" hidden="false" customHeight="false" outlineLevel="0" collapsed="false">
      <c r="B73" s="50" t="s">
        <v>42</v>
      </c>
      <c r="C73" s="51" t="str">
        <f aca="false">Data!B51</f>
        <v>M1005 X99.77 Y99.763</v>
      </c>
      <c r="E73" s="52" t="s">
        <v>49</v>
      </c>
      <c r="G73" s="55"/>
      <c r="H73" s="55"/>
      <c r="I73" s="55"/>
      <c r="J73" s="55"/>
      <c r="K73" s="55"/>
      <c r="L73" s="55"/>
      <c r="M73" s="55"/>
      <c r="N73" s="55"/>
    </row>
    <row r="74" customFormat="false" ht="15" hidden="false" customHeight="false" outlineLevel="0" collapsed="false">
      <c r="B74" s="50" t="s">
        <v>42</v>
      </c>
      <c r="C74" s="51" t="str">
        <f aca="false">Data!B53</f>
        <v>M500</v>
      </c>
      <c r="E74" s="52" t="s">
        <v>49</v>
      </c>
      <c r="G74" s="55"/>
      <c r="H74" s="55"/>
      <c r="I74" s="55"/>
      <c r="J74" s="55"/>
      <c r="K74" s="55"/>
      <c r="L74" s="55"/>
      <c r="M74" s="55"/>
      <c r="N74" s="55"/>
    </row>
    <row r="75" customFormat="false" ht="15" hidden="false" customHeight="false" outlineLevel="0" collapsed="false">
      <c r="B75" s="50" t="s">
        <v>66</v>
      </c>
      <c r="C75" s="51"/>
      <c r="E75" s="52"/>
      <c r="G75" s="55"/>
      <c r="H75" s="55"/>
      <c r="I75" s="55"/>
      <c r="J75" s="55"/>
      <c r="K75" s="55"/>
      <c r="L75" s="55"/>
      <c r="M75" s="55"/>
      <c r="N75" s="55"/>
    </row>
    <row r="76" customFormat="false" ht="15" hidden="false" customHeight="false" outlineLevel="0" collapsed="false">
      <c r="B76" s="50" t="s">
        <v>67</v>
      </c>
      <c r="G76" s="55"/>
      <c r="H76" s="55"/>
      <c r="I76" s="55"/>
      <c r="J76" s="55"/>
      <c r="K76" s="55"/>
      <c r="L76" s="55"/>
      <c r="M76" s="55"/>
      <c r="N76" s="55"/>
    </row>
    <row r="77" customFormat="false" ht="15" hidden="false" customHeight="false" outlineLevel="0" collapsed="false">
      <c r="B77" s="50" t="s">
        <v>68</v>
      </c>
      <c r="C77" s="0" t="s">
        <v>69</v>
      </c>
      <c r="E77" s="52"/>
      <c r="G77" s="55"/>
      <c r="H77" s="55"/>
      <c r="I77" s="55"/>
      <c r="J77" s="55"/>
      <c r="K77" s="55"/>
      <c r="L77" s="55"/>
      <c r="M77" s="55"/>
      <c r="N77" s="55"/>
    </row>
    <row r="78" customFormat="false" ht="15" hidden="false" customHeight="false" outlineLevel="0" collapsed="false">
      <c r="B78" s="50" t="s">
        <v>70</v>
      </c>
      <c r="C78" s="0" t="s">
        <v>71</v>
      </c>
      <c r="E78" s="52" t="s">
        <v>72</v>
      </c>
      <c r="G78" s="55"/>
      <c r="H78" s="55"/>
      <c r="I78" s="55"/>
      <c r="J78" s="55"/>
      <c r="K78" s="55"/>
      <c r="L78" s="55"/>
      <c r="M78" s="55"/>
      <c r="N78" s="55"/>
    </row>
    <row r="79" customFormat="false" ht="15" hidden="false" customHeight="false" outlineLevel="0" collapsed="false">
      <c r="B79" s="50"/>
      <c r="E79" s="52"/>
      <c r="G79" s="55"/>
      <c r="H79" s="55"/>
      <c r="I79" s="55"/>
      <c r="J79" s="55"/>
      <c r="K79" s="55"/>
      <c r="L79" s="55"/>
      <c r="M79" s="55"/>
      <c r="N79" s="55"/>
    </row>
    <row r="80" customFormat="false" ht="15" hidden="false" customHeight="false" outlineLevel="0" collapsed="false">
      <c r="B80" s="57" t="s">
        <v>73</v>
      </c>
      <c r="E80" s="52"/>
      <c r="G80" s="55"/>
      <c r="H80" s="55"/>
      <c r="I80" s="55"/>
      <c r="J80" s="55"/>
      <c r="K80" s="55"/>
      <c r="L80" s="55"/>
      <c r="M80" s="55"/>
      <c r="N80" s="55"/>
    </row>
    <row r="81" customFormat="false" ht="15" hidden="false" customHeight="false" outlineLevel="0" collapsed="false">
      <c r="B81" s="50" t="s">
        <v>42</v>
      </c>
      <c r="C81" s="51" t="str">
        <f aca="false">Data!B52</f>
        <v>M1005 I0</v>
      </c>
      <c r="E81" s="52" t="s">
        <v>49</v>
      </c>
      <c r="G81" s="55"/>
      <c r="H81" s="55"/>
      <c r="I81" s="55"/>
      <c r="J81" s="55"/>
      <c r="K81" s="55"/>
      <c r="L81" s="55"/>
      <c r="M81" s="55"/>
      <c r="N81" s="55"/>
    </row>
    <row r="82" customFormat="false" ht="15" hidden="false" customHeight="false" outlineLevel="0" collapsed="false">
      <c r="B82" s="50" t="s">
        <v>42</v>
      </c>
      <c r="C82" s="51" t="str">
        <f aca="false">Data!B53</f>
        <v>M500</v>
      </c>
      <c r="E82" s="52" t="s">
        <v>49</v>
      </c>
      <c r="G82" s="55"/>
      <c r="H82" s="55"/>
      <c r="I82" s="55"/>
      <c r="J82" s="55"/>
      <c r="K82" s="55"/>
      <c r="L82" s="55"/>
      <c r="M82" s="55"/>
      <c r="N82" s="55"/>
    </row>
    <row r="83" customFormat="false" ht="15" hidden="false" customHeight="false" outlineLevel="0" collapsed="false">
      <c r="B83" s="50" t="s">
        <v>67</v>
      </c>
      <c r="C83" s="58"/>
      <c r="E83" s="52"/>
      <c r="G83" s="55"/>
      <c r="H83" s="55"/>
      <c r="I83" s="55"/>
      <c r="J83" s="55"/>
      <c r="K83" s="55"/>
      <c r="L83" s="55"/>
      <c r="M83" s="55"/>
      <c r="N83" s="55"/>
    </row>
    <row r="84" customFormat="false" ht="15" hidden="false" customHeight="false" outlineLevel="0" collapsed="false">
      <c r="B84" s="50" t="s">
        <v>74</v>
      </c>
      <c r="C84" s="59" t="s">
        <v>75</v>
      </c>
      <c r="E84" s="52" t="s">
        <v>76</v>
      </c>
      <c r="G84" s="55"/>
      <c r="H84" s="55"/>
      <c r="I84" s="55"/>
      <c r="J84" s="55"/>
      <c r="K84" s="55"/>
      <c r="L84" s="55"/>
      <c r="M84" s="55"/>
      <c r="N84" s="55"/>
    </row>
    <row r="85" customFormat="false" ht="15" hidden="false" customHeight="false" outlineLevel="0" collapsed="false">
      <c r="B85" s="50"/>
      <c r="C85" s="59"/>
      <c r="E85" s="52"/>
      <c r="G85" s="55"/>
      <c r="H85" s="55"/>
      <c r="I85" s="55"/>
      <c r="J85" s="55"/>
      <c r="K85" s="55"/>
      <c r="L85" s="55"/>
      <c r="M85" s="55"/>
      <c r="N85" s="55"/>
    </row>
    <row r="86" customFormat="false" ht="19.7" hidden="false" customHeight="false" outlineLevel="0" collapsed="false">
      <c r="A86" s="2" t="s">
        <v>77</v>
      </c>
    </row>
    <row r="87" customFormat="false" ht="15" hidden="false" customHeight="false" outlineLevel="0" collapsed="false">
      <c r="A87" s="43" t="s">
        <v>78</v>
      </c>
    </row>
    <row r="89" customFormat="false" ht="15" hidden="false" customHeight="false" outlineLevel="0" collapsed="false">
      <c r="B89" s="52" t="s">
        <v>79</v>
      </c>
      <c r="C89" s="13" t="n">
        <f aca="false">Data!B56</f>
        <v>99.9</v>
      </c>
    </row>
    <row r="90" customFormat="false" ht="15" hidden="false" customHeight="false" outlineLevel="0" collapsed="false">
      <c r="B90" s="52" t="s">
        <v>80</v>
      </c>
      <c r="C90" s="13"/>
    </row>
    <row r="91" customFormat="false" ht="15" hidden="false" customHeight="false" outlineLevel="0" collapsed="false">
      <c r="B91" s="52" t="s">
        <v>81</v>
      </c>
      <c r="C91" s="13" t="n">
        <f aca="false">Data!B57</f>
        <v>100.1</v>
      </c>
    </row>
    <row r="93" customFormat="false" ht="15" hidden="false" customHeight="false" outlineLevel="0" collapsed="false">
      <c r="A93" s="43" t="s">
        <v>82</v>
      </c>
    </row>
    <row r="94" customFormat="false" ht="15" hidden="false" customHeight="false" outlineLevel="0" collapsed="false">
      <c r="B94" s="26"/>
      <c r="C94" s="60" t="s">
        <v>83</v>
      </c>
    </row>
    <row r="95" customFormat="false" ht="15" hidden="false" customHeight="false" outlineLevel="0" collapsed="false">
      <c r="B95" s="61" t="s">
        <v>84</v>
      </c>
      <c r="C95" s="62" t="n">
        <v>100</v>
      </c>
    </row>
    <row r="96" customFormat="false" ht="15" hidden="false" customHeight="false" outlineLevel="0" collapsed="false">
      <c r="B96" s="61" t="s">
        <v>85</v>
      </c>
      <c r="C96" s="62" t="n">
        <v>100</v>
      </c>
      <c r="E96" s="63"/>
    </row>
    <row r="97" customFormat="false" ht="15" hidden="false" customHeight="false" outlineLevel="0" collapsed="false">
      <c r="B97" s="64"/>
      <c r="C97" s="65"/>
    </row>
    <row r="98" customFormat="false" ht="15" hidden="false" customHeight="false" outlineLevel="0" collapsed="false">
      <c r="B98" s="61" t="s">
        <v>86</v>
      </c>
      <c r="C98" s="14" t="n">
        <f aca="false">Data!B60</f>
        <v>100.143333333333</v>
      </c>
      <c r="E98" s="63"/>
    </row>
    <row r="99" customFormat="false" ht="15" hidden="false" customHeight="false" outlineLevel="0" collapsed="false">
      <c r="B99" s="61" t="s">
        <v>87</v>
      </c>
      <c r="C99" s="14" t="n">
        <f aca="false">Data!B61</f>
        <v>100.059166666667</v>
      </c>
    </row>
    <row r="101" customFormat="false" ht="15" hidden="false" customHeight="false" outlineLevel="0" collapsed="false">
      <c r="A101" s="43" t="s">
        <v>88</v>
      </c>
    </row>
    <row r="102" customFormat="false" ht="15" hidden="false" customHeight="false" outlineLevel="0" collapsed="false">
      <c r="C102" s="60" t="s">
        <v>83</v>
      </c>
    </row>
    <row r="103" customFormat="false" ht="15" hidden="false" customHeight="false" outlineLevel="0" collapsed="false">
      <c r="B103" s="61" t="s">
        <v>89</v>
      </c>
      <c r="C103" s="62" t="n">
        <v>100</v>
      </c>
    </row>
    <row r="104" customFormat="false" ht="15" hidden="false" customHeight="false" outlineLevel="0" collapsed="false">
      <c r="B104" s="61" t="s">
        <v>90</v>
      </c>
      <c r="C104" s="62" t="n">
        <v>100</v>
      </c>
    </row>
    <row r="105" customFormat="false" ht="15" hidden="false" customHeight="false" outlineLevel="0" collapsed="false">
      <c r="B105" s="64"/>
      <c r="C105" s="65"/>
    </row>
    <row r="106" customFormat="false" ht="15" hidden="false" customHeight="false" outlineLevel="0" collapsed="false">
      <c r="B106" s="61" t="s">
        <v>91</v>
      </c>
      <c r="C106" s="14" t="n">
        <f aca="false">Data!B64</f>
        <v>99.8566666666667</v>
      </c>
    </row>
    <row r="107" customFormat="false" ht="15" hidden="false" customHeight="false" outlineLevel="0" collapsed="false">
      <c r="B107" s="61" t="s">
        <v>92</v>
      </c>
      <c r="C107" s="14" t="n">
        <f aca="false">Data!B65</f>
        <v>99.9408333333333</v>
      </c>
    </row>
  </sheetData>
  <sheetProtection algorithmName="SHA-512" hashValue="Qb6ttkxYbYNxokiwtBrZAm7jugHC9nL9cUIWDI2w+tzkWeFd9RZ4VMwPjBEiCl+3YW5Tk91S5MrLnm5ewatvtw==" saltValue="Vu6hiI+h2mCSw4K7PtKrNQ==" spinCount="100000" sheet="true" selectLockedCells="true"/>
  <mergeCells count="1">
    <mergeCell ref="G37:O39"/>
  </mergeCells>
  <dataValidations count="20">
    <dataValidation allowBlank="true" error="Value must be a decimal between 0 and 1000" errorStyle="stop" operator="between" showDropDown="false" showErrorMessage="true" showInputMessage="true" sqref="B8:E17" type="decimal">
      <formula1>0</formula1>
      <formula2>1000</formula2>
    </dataValidation>
    <dataValidation allowBlank="true" errorStyle="stop" operator="greaterThanOrEqual" showDropDown="false" showErrorMessage="true" showInputMessage="true" sqref="C4" type="decimal">
      <formula1>0.75</formula1>
      <formula2>0</formula2>
    </dataValidation>
    <dataValidation allowBlank="true" error="Value must be a decimal greater than zero." errorStyle="stop" errorTitle="Input Error" operator="greaterThan" showDropDown="false" showErrorMessage="true" showInputMessage="false" sqref="C95:C96 C103:C104" type="decimal">
      <formula1>0</formula1>
      <formula2>0</formula2>
    </dataValidation>
    <dataValidation allowBlank="true" error="Value cannot be changed" errorStyle="stop" operator="between" showDropDown="false" showErrorMessage="true" showInputMessage="true" sqref="C40" type="custom">
      <formula1>"[skew_correction] "</formula1>
      <formula2>0</formula2>
    </dataValidation>
    <dataValidation allowBlank="true" error="Value cannot be changed." errorStyle="stop" operator="between" showDropDown="false" showErrorMessage="true" showInputMessage="true" sqref="C44" type="none">
      <formula1>0</formula1>
      <formula2>0</formula2>
    </dataValidation>
    <dataValidation allowBlank="true" error="Value cannot be changed." errorStyle="stop" operator="between" showDropDown="false" showErrorMessage="true" showInputMessage="true" sqref="C45" type="custom">
      <formula1>"SET_SKEW CLEAR=1"</formula1>
      <formula2>0</formula2>
    </dataValidation>
    <dataValidation allowBlank="true" errorStyle="stop" operator="between" showDropDown="false" showErrorMessage="true" showInputMessage="true" sqref="E96" type="custom">
      <formula1>C89</formula1>
      <formula2>0</formula2>
    </dataValidation>
    <dataValidation allowBlank="true" error="Cell cannot be changed" errorStyle="stop" operator="between" showDropDown="false" showErrorMessage="true" showInputMessage="true" sqref="C43 C56:C57" type="none">
      <formula1>0</formula1>
      <formula2>0</formula2>
    </dataValidation>
    <dataValidation allowBlank="true" error="Value Cannot be changed" errorStyle="stop" operator="between" showDropDown="false" showErrorMessage="true" showInputMessage="true" sqref="C74:C75 C81:C83" type="none">
      <formula1>0</formula1>
      <formula2>0</formula2>
    </dataValidation>
    <dataValidation allowBlank="true" error="Value cannot be changed." errorStyle="stop" operator="between" showDropDown="false" showErrorMessage="true" showInputMessage="true" sqref="C106:C107" type="custom">
      <formula1>Data!B64</formula1>
      <formula2>0</formula2>
    </dataValidation>
    <dataValidation allowBlank="true" errorStyle="stop" operator="between" showDropDown="false" showErrorMessage="true" showInputMessage="true" sqref="E98" type="custom">
      <formula1>Data!B60</formula1>
      <formula2>0</formula2>
    </dataValidation>
    <dataValidation allowBlank="true" error="Value cannot be changed" errorStyle="stop" operator="between" showDropDown="false" showErrorMessage="true" showInputMessage="true" sqref="C89:C90" type="custom">
      <formula1>Data!B56</formula1>
      <formula2>0</formula2>
    </dataValidation>
    <dataValidation allowBlank="true" error="Value cannot be changed" errorStyle="stop" operator="between" showDropDown="false" showErrorMessage="true" showInputMessage="true" sqref="C91" type="custom">
      <formula1>Data!B57</formula1>
      <formula2>0</formula2>
    </dataValidation>
    <dataValidation allowBlank="false" error="Value Cannot be changed" errorStyle="stop" operator="between" showDropDown="false" showErrorMessage="true" showInputMessage="true" sqref="C73" type="custom">
      <formula1>Data!B51</formula1>
      <formula2>0</formula2>
    </dataValidation>
    <dataValidation allowBlank="true" error="Value Cannot be changed" errorStyle="stop" operator="between" showDropDown="false" showErrorMessage="true" showInputMessage="true" sqref="C68" type="custom">
      <formula1>Data!A47</formula1>
      <formula2>0</formula2>
    </dataValidation>
    <dataValidation allowBlank="true" errorStyle="stop" operator="between" showDropDown="false" showErrorMessage="true" showInputMessage="true" sqref="C62:C64" type="custom">
      <formula1>Data!B40</formula1>
      <formula2>0</formula2>
    </dataValidation>
    <dataValidation allowBlank="true" error="Cell cannot be changed" errorStyle="stop" operator="between" showDropDown="false" showErrorMessage="true" showInputMessage="true" sqref="C61" type="custom">
      <formula1>Data!A34</formula1>
      <formula2>0</formula2>
    </dataValidation>
    <dataValidation allowBlank="true" error="Cell cannot be changed" errorStyle="stop" operator="between" showDropDown="false" showErrorMessage="true" showInputMessage="true" sqref="C58:C59" type="custom">
      <formula1>Data!A32</formula1>
      <formula2>0</formula2>
    </dataValidation>
    <dataValidation allowBlank="true" error="Cell cannot be changed" errorStyle="stop" operator="between" showDropDown="false" showErrorMessage="true" showInputMessage="true" sqref="C49:C55" type="custom">
      <formula1>Data!A28</formula1>
      <formula2>0</formula2>
    </dataValidation>
    <dataValidation allowBlank="true" error="Cell cannot be changed" errorStyle="stop" operator="between" showDropDown="false" showErrorMessage="true" showInputMessage="true" sqref="C41:C42" type="custom">
      <formula1>Data!A23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between" id="{A0AE3EDB-4EF8-451C-8BB9-9A68B8962EEB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lessThan" id="{BBAB5212-66E6-4674-A580-1BC170D776EF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" operator="greaterThan" id="{CC9A2CF1-83C1-46DB-B38F-2B90CDC3A3C1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" operator="greaterThan" id="{4FF413FD-AFDD-424E-AD91-EF353A2470DE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6" operator="lessThan" id="{63309890-3DEF-4739-B2C4-BD2036201285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B8:D8</xm:sqref>
        </x14:conditionalFormatting>
        <x14:conditionalFormatting xmlns:xm="http://schemas.microsoft.com/office/excel/2006/main">
          <x14:cfRule type="cellIs" priority="7" operator="greaterThan" id="{C146EC90-23A5-40D2-986A-B1FCE7E53051}">
            <xm:f>Data!$B$3+5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" operator="lessThan" id="{AD7898ED-4BF0-4DCE-8276-AF65B53D85A3}">
            <xm:f>Data!$B$3-5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" operator="between" id="{528D83BD-688A-4DDE-BAEA-CD3E85D4632B}">
            <xm:f>Data!$B$3+1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" operator="greaterThan" id="{5A89E054-B0BC-4C8E-AFC0-AF6B335E5F7C}">
            <xm:f>Data!$B$3+1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1" operator="lessThan" id="{14E520B9-5156-48BD-AAE5-2E6CF052975F}">
            <xm:f>Data!$B$3-1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B9:D9 B11:D11 B13:D13 B15:D15</xm:sqref>
        </x14:conditionalFormatting>
        <x14:conditionalFormatting xmlns:xm="http://schemas.microsoft.com/office/excel/2006/main">
          <x14:cfRule type="cellIs" priority="12" operator="between" id="{30F0ED86-4F6B-426B-A14E-F0CC846EB982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" operator="lessThan" id="{C264FBD9-718B-4D1E-842B-D9C29332413A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4" operator="greaterThan" id="{53379F6D-CCE7-4A60-8F9A-7E35FEA9A616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5" operator="greaterThan" id="{D1C4DB9E-1586-4018-B160-45851B9634AB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6" operator="lessThan" id="{E9392AC5-B0B3-4D43-9FC3-D717CF1ECFB9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B10:D10</xm:sqref>
        </x14:conditionalFormatting>
        <x14:conditionalFormatting xmlns:xm="http://schemas.microsoft.com/office/excel/2006/main">
          <x14:cfRule type="cellIs" priority="17" operator="between" id="{96B0D5BE-69F7-4A10-88F1-274EDB8221B0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" operator="lessThan" id="{BA9BD09E-44FF-4CBF-8A44-C3F3903DB955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" operator="greaterThan" id="{6CF5BE21-89AC-4BD1-8E1D-4068A18D67C1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0" operator="greaterThan" id="{C96F25FF-3BD3-4649-B713-8C5BF079C0CC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1" operator="lessThan" id="{3EFD2B68-EC9E-427E-84CF-4670D3546F43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B12:D12</xm:sqref>
        </x14:conditionalFormatting>
        <x14:conditionalFormatting xmlns:xm="http://schemas.microsoft.com/office/excel/2006/main">
          <x14:cfRule type="cellIs" priority="22" operator="between" id="{715A2820-3E49-4BA0-8278-717C2B208415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3" operator="lessThan" id="{6AA02024-4F10-4E8F-8867-DA20AC77A840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4" operator="greaterThan" id="{3E8A8E5A-1AAE-4D48-A62E-3774C47627B0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5" operator="greaterThan" id="{C4D4D823-21FF-4294-BCF9-444F6B2470B4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6" operator="lessThan" id="{87C062B3-1951-406F-8777-88603FC4C0F6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B14:D14</xm:sqref>
        </x14:conditionalFormatting>
        <x14:conditionalFormatting xmlns:xm="http://schemas.microsoft.com/office/excel/2006/main">
          <x14:cfRule type="cellIs" priority="27" operator="between" id="{4B9E89B0-F5A3-496C-9DE7-B6D51E58D388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8" operator="lessThan" id="{587DF3A0-4170-4763-B88D-8B3BDDA65A6F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9" operator="greaterThan" id="{F975B33B-6695-41C0-BF90-16A0F3AF2C98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0" operator="greaterThan" id="{77CC962C-2239-4176-9E9F-17AF4F8453F8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1" operator="lessThan" id="{5E7EB098-7C42-4D5C-9745-935068CF92D9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B16:D16</xm:sqref>
        </x14:conditionalFormatting>
        <x14:conditionalFormatting xmlns:xm="http://schemas.microsoft.com/office/excel/2006/main">
          <x14:cfRule type="cellIs" priority="32" operator="between" id="{80B0C463-323B-4CA4-8C99-CC99232E509A}">
            <xm:f>Data!$B$2+1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" operator="lessThan" id="{5D183052-C8D8-4D17-9821-C2AF2AED4A4D}">
            <xm:f>Data!$B$2-5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4" operator="greaterThan" id="{BDB037C9-6065-46E8-A0DF-2931CF3835FA}">
            <xm:f>Data!$B$2+5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5" operator="greaterThan" id="{B2121AB8-FBE6-4177-9547-347BFDC7F120}">
            <xm:f>Data!$B$2+1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6" operator="lessThan" id="{2FA0735F-8999-4810-9941-6AEBC566655F}">
            <xm:f>Data!$B$2-1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B17:D17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C52" activeCellId="0" sqref="C5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4.29"/>
    <col collapsed="false" customWidth="true" hidden="false" outlineLevel="0" max="3" min="3" style="0" width="14.43"/>
    <col collapsed="false" customWidth="true" hidden="false" outlineLevel="0" max="5" min="5" style="0" width="9.14"/>
    <col collapsed="false" customWidth="true" hidden="false" outlineLevel="0" max="9" min="9" style="0" width="14.43"/>
  </cols>
  <sheetData>
    <row r="1" customFormat="false" ht="15" hidden="false" customHeight="false" outlineLevel="0" collapsed="false">
      <c r="B1" s="43" t="s">
        <v>93</v>
      </c>
      <c r="C1" s="66" t="s">
        <v>94</v>
      </c>
    </row>
    <row r="2" customFormat="false" ht="15" hidden="false" customHeight="false" outlineLevel="0" collapsed="false">
      <c r="A2" s="43" t="n">
        <v>1</v>
      </c>
      <c r="B2" s="0" t="n">
        <f aca="false">100*scale</f>
        <v>100</v>
      </c>
      <c r="C2" s="67" t="n">
        <f aca="false">(Calculator!E8-Data!B2)/B2</f>
        <v>-0.00200000000000003</v>
      </c>
    </row>
    <row r="3" customFormat="false" ht="15" hidden="false" customHeight="false" outlineLevel="0" collapsed="false">
      <c r="A3" s="43" t="n">
        <v>2</v>
      </c>
      <c r="B3" s="0" t="n">
        <f aca="false">50*scale</f>
        <v>50</v>
      </c>
      <c r="C3" s="67" t="n">
        <f aca="false">(Calculator!E9-Data!B3)/B3</f>
        <v>-0.0024666666666667</v>
      </c>
    </row>
    <row r="4" customFormat="false" ht="15" hidden="false" customHeight="false" outlineLevel="0" collapsed="false">
      <c r="A4" s="43" t="n">
        <v>3</v>
      </c>
      <c r="B4" s="0" t="n">
        <f aca="false">100*scale</f>
        <v>100</v>
      </c>
      <c r="C4" s="67" t="n">
        <f aca="false">(Calculator!E10-Data!B4)/B4</f>
        <v>-0.000866666666666589</v>
      </c>
    </row>
    <row r="5" customFormat="false" ht="15" hidden="false" customHeight="false" outlineLevel="0" collapsed="false">
      <c r="A5" s="43" t="n">
        <v>4</v>
      </c>
      <c r="B5" s="0" t="n">
        <f aca="false">50*scale</f>
        <v>50</v>
      </c>
      <c r="C5" s="67" t="n">
        <f aca="false">(Calculator!E11-Data!B5)/B5</f>
        <v>-0.000400000000000063</v>
      </c>
    </row>
    <row r="6" customFormat="false" ht="15" hidden="false" customHeight="false" outlineLevel="0" collapsed="false">
      <c r="A6" s="43" t="n">
        <v>5</v>
      </c>
      <c r="B6" s="0" t="n">
        <f aca="false">100*scale</f>
        <v>100</v>
      </c>
      <c r="C6" s="67" t="n">
        <f aca="false">(Calculator!E12-Data!B6)/B6</f>
        <v>-0.00103333333333339</v>
      </c>
    </row>
    <row r="7" customFormat="false" ht="15" hidden="false" customHeight="false" outlineLevel="0" collapsed="false">
      <c r="A7" s="43" t="n">
        <v>6</v>
      </c>
      <c r="B7" s="0" t="n">
        <f aca="false">50*scale</f>
        <v>50</v>
      </c>
      <c r="C7" s="67" t="n">
        <f aca="false">(Calculator!E13-Data!B7)/B7</f>
        <v>-0.000533333333333417</v>
      </c>
    </row>
    <row r="8" customFormat="false" ht="15" hidden="false" customHeight="false" outlineLevel="0" collapsed="false">
      <c r="A8" s="43" t="n">
        <v>7</v>
      </c>
      <c r="B8" s="0" t="n">
        <f aca="false">100*scale</f>
        <v>100</v>
      </c>
      <c r="C8" s="67" t="n">
        <f aca="false">(Calculator!E14-Data!B8)/B8</f>
        <v>-0.000333333333333457</v>
      </c>
    </row>
    <row r="9" customFormat="false" ht="15" hidden="false" customHeight="false" outlineLevel="0" collapsed="false">
      <c r="A9" s="43" t="n">
        <v>8</v>
      </c>
      <c r="B9" s="0" t="n">
        <f aca="false">50*scale</f>
        <v>50</v>
      </c>
      <c r="C9" s="67" t="n">
        <f aca="false">(Calculator!E15-Data!B9)/B9</f>
        <v>-0.000466666666666669</v>
      </c>
    </row>
    <row r="10" customFormat="false" ht="15" hidden="false" customHeight="false" outlineLevel="0" collapsed="false">
      <c r="C10" s="67"/>
      <c r="E10" s="68"/>
    </row>
    <row r="11" customFormat="false" ht="15" hidden="false" customHeight="false" outlineLevel="0" collapsed="false">
      <c r="C11" s="67"/>
      <c r="E11" s="68"/>
    </row>
    <row r="12" customFormat="false" ht="15" hidden="false" customHeight="false" outlineLevel="0" collapsed="false">
      <c r="B12" s="69" t="s">
        <v>20</v>
      </c>
      <c r="C12" s="70" t="s">
        <v>22</v>
      </c>
      <c r="D12" s="69" t="s">
        <v>32</v>
      </c>
      <c r="E12" s="71" t="s">
        <v>34</v>
      </c>
    </row>
    <row r="13" customFormat="false" ht="15" hidden="false" customHeight="false" outlineLevel="0" collapsed="false">
      <c r="A13" s="0" t="s">
        <v>8</v>
      </c>
      <c r="B13" s="31" t="n">
        <f aca="false">AVERAGE(C2:C5)</f>
        <v>-0.00143333333333334</v>
      </c>
      <c r="C13" s="31" t="n">
        <f aca="false">AVERAGE(C6:C9)</f>
        <v>-0.000591666666666733</v>
      </c>
      <c r="D13" s="31" t="n">
        <f aca="false">AVERAGE(C4:C5,C8:C9)</f>
        <v>-0.000516666666666694</v>
      </c>
      <c r="E13" s="31" t="n">
        <f aca="false">AVERAGE(C2:C3,C6:C7)</f>
        <v>-0.00150833333333338</v>
      </c>
    </row>
    <row r="14" customFormat="false" ht="15" hidden="false" customHeight="false" outlineLevel="0" collapsed="false">
      <c r="C14" s="67"/>
      <c r="E14" s="68"/>
    </row>
    <row r="15" customFormat="false" ht="15" hidden="false" customHeight="false" outlineLevel="0" collapsed="false">
      <c r="C15" s="67"/>
      <c r="E15" s="68"/>
    </row>
    <row r="17" customFormat="false" ht="15" hidden="false" customHeight="false" outlineLevel="0" collapsed="false">
      <c r="A17" s="0" t="s">
        <v>95</v>
      </c>
      <c r="B17" s="63" t="n">
        <f aca="false">50*SQRT(2)*(1+B13)*Calculator!C4</f>
        <v>70.6093261466847</v>
      </c>
      <c r="C17" s="72"/>
    </row>
    <row r="18" customFormat="false" ht="15" hidden="false" customHeight="false" outlineLevel="0" collapsed="false">
      <c r="A18" s="0" t="s">
        <v>96</v>
      </c>
      <c r="B18" s="63" t="n">
        <f aca="false">SQRT(((Calculator!E16^2)+(Calculator!E17^2)-2*(B17^2))/2)</f>
        <v>70.4819895434288</v>
      </c>
      <c r="C18" s="72"/>
    </row>
    <row r="19" customFormat="false" ht="15" hidden="false" customHeight="false" outlineLevel="0" collapsed="false">
      <c r="A19" s="0" t="s">
        <v>27</v>
      </c>
      <c r="B19" s="63" t="n">
        <f aca="false">DEGREES(ACOS(((Calculator!E16^2)-(B17^2)-(B18^2))/(2*B17*B18)))</f>
        <v>89.9961713416085</v>
      </c>
      <c r="C19" s="72"/>
    </row>
    <row r="20" customFormat="false" ht="15" hidden="false" customHeight="false" outlineLevel="0" collapsed="false">
      <c r="A20" s="0" t="s">
        <v>29</v>
      </c>
      <c r="B20" s="63" t="n">
        <f aca="false">B19-90</f>
        <v>-0.003828658391555</v>
      </c>
      <c r="C20" s="72"/>
    </row>
    <row r="22" customFormat="false" ht="15" hidden="false" customHeight="false" outlineLevel="0" collapsed="false">
      <c r="A22" s="43" t="s">
        <v>97</v>
      </c>
    </row>
    <row r="23" customFormat="false" ht="15" hidden="false" customHeight="false" outlineLevel="0" collapsed="false">
      <c r="A23" s="0" t="str">
        <f aca="false">"SET_SKEW XY="&amp;ROUND(Calculator!E16,2)&amp;","&amp;ROUND(Calculator!E17,2)&amp;","&amp;ROUND(B17,2)</f>
        <v>SET_SKEW XY=99.77,99.76,70.61</v>
      </c>
    </row>
    <row r="24" customFormat="false" ht="15" hidden="false" customHeight="false" outlineLevel="0" collapsed="false">
      <c r="A24" s="0" t="s">
        <v>98</v>
      </c>
    </row>
    <row r="25" customFormat="false" ht="15" hidden="false" customHeight="false" outlineLevel="0" collapsed="false">
      <c r="A25" s="0" t="s">
        <v>99</v>
      </c>
    </row>
    <row r="27" customFormat="false" ht="15" hidden="false" customHeight="false" outlineLevel="0" collapsed="false">
      <c r="A27" s="43" t="s">
        <v>100</v>
      </c>
    </row>
    <row r="28" customFormat="false" ht="15" hidden="false" customHeight="false" outlineLevel="0" collapsed="false">
      <c r="A28" s="0" t="s">
        <v>101</v>
      </c>
    </row>
    <row r="29" customFormat="false" ht="15" hidden="false" customHeight="false" outlineLevel="0" collapsed="false">
      <c r="A29" s="0" t="str">
        <f aca="false">" define XY_DIAG_AC " &amp; ROUND(Calculator!E16,4)</f>
        <v> define XY_DIAG_AC 99.77</v>
      </c>
    </row>
    <row r="30" customFormat="false" ht="15" hidden="false" customHeight="false" outlineLevel="0" collapsed="false">
      <c r="A30" s="0" t="str">
        <f aca="false">" define XY_DIAG_BD " &amp; ROUND(Calculator!E17,4)</f>
        <v> define XY_DIAG_BD 99.7633</v>
      </c>
    </row>
    <row r="31" customFormat="false" ht="15" hidden="false" customHeight="false" outlineLevel="0" collapsed="false">
      <c r="A31" s="0" t="str">
        <f aca="false">" define XY_SIDE_AD "&amp;ROUND(B17,4)</f>
        <v> define XY_SIDE_AD 70.6093</v>
      </c>
    </row>
    <row r="32" customFormat="false" ht="15" hidden="false" customHeight="false" outlineLevel="0" collapsed="false">
      <c r="A32" s="0" t="str">
        <f aca="false">IFERROR(" define XY_SKEW_FACTOR " &amp; ROUND(B37,6),"ERROR")</f>
        <v> define XY_SKEW_FACTOR -0.002576</v>
      </c>
    </row>
    <row r="34" customFormat="false" ht="15" hidden="false" customHeight="false" outlineLevel="0" collapsed="false">
      <c r="A34" s="0" t="s">
        <v>102</v>
      </c>
      <c r="B34" s="63" t="n">
        <f aca="false">Calculator!E16</f>
        <v>99.77</v>
      </c>
      <c r="C34" s="72"/>
      <c r="F34" s="0" t="s">
        <v>103</v>
      </c>
    </row>
    <row r="35" customFormat="false" ht="15" hidden="false" customHeight="false" outlineLevel="0" collapsed="false">
      <c r="A35" s="0" t="s">
        <v>104</v>
      </c>
      <c r="B35" s="63" t="n">
        <f aca="false">50*SQRT(2)*(1+C13)*Calculator!C4</f>
        <v>70.6688409674346</v>
      </c>
      <c r="C35" s="72"/>
      <c r="F35" s="0" t="s">
        <v>105</v>
      </c>
    </row>
    <row r="36" customFormat="false" ht="15" hidden="false" customHeight="false" outlineLevel="0" collapsed="false">
      <c r="A36" s="0" t="s">
        <v>106</v>
      </c>
      <c r="B36" s="63" t="n">
        <f aca="false">B17</f>
        <v>70.6093261466847</v>
      </c>
      <c r="C36" s="72"/>
      <c r="F36" s="0" t="s">
        <v>107</v>
      </c>
    </row>
    <row r="37" customFormat="false" ht="15" hidden="false" customHeight="false" outlineLevel="0" collapsed="false">
      <c r="A37" s="0" t="s">
        <v>108</v>
      </c>
      <c r="B37" s="73" t="n">
        <f aca="false">IFERROR(TAN(PI()/2-ACOS(((B34^2)-(B35^2)-(B36^2))/(2*B35*B36))),"ERROR")</f>
        <v>-0.0025761352770556</v>
      </c>
      <c r="C37" s="74"/>
      <c r="I37" s="75"/>
    </row>
    <row r="39" customFormat="false" ht="15" hidden="false" customHeight="false" outlineLevel="0" collapsed="false">
      <c r="A39" s="43" t="s">
        <v>109</v>
      </c>
    </row>
    <row r="40" customFormat="false" ht="15" hidden="false" customHeight="false" outlineLevel="0" collapsed="false">
      <c r="A40" s="43"/>
      <c r="B40" s="76" t="s">
        <v>110</v>
      </c>
    </row>
    <row r="41" customFormat="false" ht="15" hidden="false" customHeight="false" outlineLevel="0" collapsed="false">
      <c r="A41" s="0" t="s">
        <v>111</v>
      </c>
      <c r="B41" s="0" t="str">
        <f aca="false">"M852 I"&amp;ROUND(B37,6)</f>
        <v>M852 I-0.002576</v>
      </c>
      <c r="F41" s="0" t="s">
        <v>112</v>
      </c>
    </row>
    <row r="42" customFormat="false" ht="15" hidden="false" customHeight="false" outlineLevel="0" collapsed="false">
      <c r="A42" s="0" t="s">
        <v>113</v>
      </c>
      <c r="B42" s="0" t="s">
        <v>114</v>
      </c>
      <c r="F42" s="0" t="s">
        <v>115</v>
      </c>
    </row>
    <row r="44" customFormat="false" ht="15" hidden="false" customHeight="false" outlineLevel="0" collapsed="false">
      <c r="A44" s="43" t="s">
        <v>116</v>
      </c>
    </row>
    <row r="45" customFormat="false" ht="15" hidden="false" customHeight="false" outlineLevel="0" collapsed="false">
      <c r="A45" s="0" t="s">
        <v>117</v>
      </c>
      <c r="B45" s="0" t="s">
        <v>118</v>
      </c>
      <c r="F45" s="0" t="s">
        <v>119</v>
      </c>
    </row>
    <row r="46" customFormat="false" ht="15" hidden="false" customHeight="false" outlineLevel="0" collapsed="false">
      <c r="A46" s="0" t="s">
        <v>120</v>
      </c>
      <c r="B46" s="77" t="n">
        <f aca="false">100*TAN(RADIANS(B19-90))</f>
        <v>-0.00668226949662055</v>
      </c>
    </row>
    <row r="47" customFormat="false" ht="15" hidden="false" customHeight="false" outlineLevel="0" collapsed="false">
      <c r="A47" s="0" t="str">
        <f aca="false">"M556 S100 X"&amp; ROUND(B46,3)</f>
        <v>M556 S100 X-0.007</v>
      </c>
    </row>
    <row r="49" customFormat="false" ht="15" hidden="false" customHeight="false" outlineLevel="0" collapsed="false">
      <c r="A49" s="43" t="s">
        <v>63</v>
      </c>
    </row>
    <row r="50" customFormat="false" ht="15" hidden="false" customHeight="false" outlineLevel="0" collapsed="false">
      <c r="A50" s="43"/>
    </row>
    <row r="51" customFormat="false" ht="15" hidden="false" customHeight="false" outlineLevel="0" collapsed="false">
      <c r="A51" s="0" t="s">
        <v>29</v>
      </c>
      <c r="B51" s="0" t="str">
        <f aca="false">"M1005 X" &amp; ROUND(Calculator!E16,3) &amp; " Y" &amp; ROUND(Calculator!E17,3)</f>
        <v>M1005 X99.77 Y99.763</v>
      </c>
    </row>
    <row r="52" customFormat="false" ht="15" hidden="false" customHeight="false" outlineLevel="0" collapsed="false">
      <c r="A52" s="0" t="s">
        <v>121</v>
      </c>
      <c r="B52" s="0" t="s">
        <v>122</v>
      </c>
    </row>
    <row r="53" customFormat="false" ht="15" hidden="false" customHeight="false" outlineLevel="0" collapsed="false">
      <c r="A53" s="0" t="s">
        <v>123</v>
      </c>
      <c r="B53" s="0" t="s">
        <v>114</v>
      </c>
    </row>
    <row r="55" customFormat="false" ht="15" hidden="false" customHeight="false" outlineLevel="0" collapsed="false">
      <c r="A55" s="43" t="s">
        <v>124</v>
      </c>
    </row>
    <row r="56" customFormat="false" ht="15" hidden="false" customHeight="false" outlineLevel="0" collapsed="false">
      <c r="A56" s="0" t="s">
        <v>125</v>
      </c>
      <c r="B56" s="78" t="n">
        <f aca="false">ROUND((1+AVERAGE(B13,C13))*100,2)</f>
        <v>99.9</v>
      </c>
    </row>
    <row r="57" customFormat="false" ht="15" hidden="false" customHeight="false" outlineLevel="0" collapsed="false">
      <c r="A57" s="0" t="s">
        <v>126</v>
      </c>
      <c r="B57" s="72" t="n">
        <f aca="false">ROUND((1-AVERAGE(B13,C13))*100,2)</f>
        <v>100.1</v>
      </c>
    </row>
    <row r="59" customFormat="false" ht="15" hidden="false" customHeight="false" outlineLevel="0" collapsed="false">
      <c r="A59" s="43" t="s">
        <v>82</v>
      </c>
    </row>
    <row r="60" customFormat="false" ht="15" hidden="false" customHeight="false" outlineLevel="0" collapsed="false">
      <c r="A60" s="0" t="s">
        <v>20</v>
      </c>
      <c r="B60" s="63" t="n">
        <f aca="false">Calculator!C95*(1-Data!B13)</f>
        <v>100.143333333333</v>
      </c>
    </row>
    <row r="61" customFormat="false" ht="15" hidden="false" customHeight="false" outlineLevel="0" collapsed="false">
      <c r="A61" s="0" t="s">
        <v>22</v>
      </c>
      <c r="B61" s="63" t="n">
        <f aca="false">Calculator!C96*(1-Data!C13)</f>
        <v>100.059166666667</v>
      </c>
    </row>
    <row r="63" customFormat="false" ht="15" hidden="false" customHeight="false" outlineLevel="0" collapsed="false">
      <c r="A63" s="43" t="s">
        <v>88</v>
      </c>
    </row>
    <row r="64" customFormat="false" ht="15" hidden="false" customHeight="false" outlineLevel="0" collapsed="false">
      <c r="A64" s="0" t="s">
        <v>20</v>
      </c>
      <c r="B64" s="78" t="n">
        <f aca="false">(1+B13)*Calculator!C103</f>
        <v>99.8566666666667</v>
      </c>
    </row>
    <row r="65" customFormat="false" ht="15" hidden="false" customHeight="false" outlineLevel="0" collapsed="false">
      <c r="A65" s="0" t="s">
        <v>22</v>
      </c>
      <c r="B65" s="78" t="n">
        <f aca="false">(1+C13)*Calculator!C104</f>
        <v>99.9408333333333</v>
      </c>
    </row>
  </sheetData>
  <sheetProtection algorithmName="SHA-512" hashValue="KGFg9ZgcZfC/tX9M6X46yQatOC/phTBUxHX1qItCX+b1MuZoYnoXQXds7uulmn+BJWsTu8YJY9a9JWhOVcZG7g==" saltValue="tdvYHvo47/UOv1wEZxpV7A==" spinCount="100000" sheet="true" selectLockedCells="true" selectUn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2021-12-10T19:35:57Z</dcterms:created>
  <dc:creator>Adam Meadows</dc:creator>
  <dc:description/>
  <dc:language>en-US</dc:language>
  <cp:lastModifiedBy/>
  <dcterms:modified xsi:type="dcterms:W3CDTF">2026-02-23T02:54:06Z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